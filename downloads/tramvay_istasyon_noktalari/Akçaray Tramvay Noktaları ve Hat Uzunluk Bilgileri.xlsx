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1" l="1"/>
  <c r="H30" i="1"/>
  <c r="H29" i="1"/>
  <c r="H28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J4" i="1"/>
  <c r="J3" i="1"/>
</calcChain>
</file>

<file path=xl/comments1.xml><?xml version="1.0" encoding="utf-8"?>
<comments xmlns="http://schemas.openxmlformats.org/spreadsheetml/2006/main">
  <authors>
    <author>Yazar</author>
  </authors>
  <commentList>
    <comment ref="G27" authorId="0" shape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Şehir Hastanesi Hattı kılçık hattır. Hat Mehmet Ali Paşa İstasyonu'ndan sonra Kanalboyu İstasyonu'na doğru ayrılmaktadır.</t>
        </r>
      </text>
    </comment>
  </commentList>
</comments>
</file>

<file path=xl/sharedStrings.xml><?xml version="1.0" encoding="utf-8"?>
<sst xmlns="http://schemas.openxmlformats.org/spreadsheetml/2006/main" count="130" uniqueCount="99">
  <si>
    <t>Akçaray Tramvay İstasyon Noktaları</t>
  </si>
  <si>
    <t>İstasyonlar Arası Tramvay Hattı Uzunluğu</t>
  </si>
  <si>
    <t>İlçe Bazlı Hat Uzunluğu</t>
  </si>
  <si>
    <t>Sayı No</t>
  </si>
  <si>
    <t>İstasyon Adı</t>
  </si>
  <si>
    <t>İstasyon İlçesi</t>
  </si>
  <si>
    <t>Koordinat</t>
  </si>
  <si>
    <t>İstasyonlar</t>
  </si>
  <si>
    <t>Mesafe</t>
  </si>
  <si>
    <t>İlçe</t>
  </si>
  <si>
    <t>Uzunluk (km)</t>
  </si>
  <si>
    <t>Kuruçeşme</t>
  </si>
  <si>
    <t>İzmit</t>
  </si>
  <si>
    <t>40.764189794724594, 29.877053141528535</t>
  </si>
  <si>
    <t>Plajyolu</t>
  </si>
  <si>
    <t>40.76279289754383, 29.886942504751882</t>
  </si>
  <si>
    <t>Kuruçeşme - Plajyolu</t>
  </si>
  <si>
    <t>Kartepe</t>
  </si>
  <si>
    <t>Eğitim Kampüsü</t>
  </si>
  <si>
    <t>40.76229620772531, 29.89224149725934</t>
  </si>
  <si>
    <t>Plajyolu - Eğitim Kampüsü</t>
  </si>
  <si>
    <t>Kongre Merkezi</t>
  </si>
  <si>
    <t>40.76176971946191, 29.897011288517685</t>
  </si>
  <si>
    <t>Eğitim Kampüsü - Kongre Merkezi</t>
  </si>
  <si>
    <t>Seka Devlet Hastanesi</t>
  </si>
  <si>
    <t>40.761199090061645, 29.90179634347892</t>
  </si>
  <si>
    <t>Kongre Merkezi - Seka Devlet Hastanesi</t>
  </si>
  <si>
    <t>Sekapark</t>
  </si>
  <si>
    <t>40.761472428645035, 29.911109137576204</t>
  </si>
  <si>
    <t>Seka Devlet Hastanesi - Sekapark</t>
  </si>
  <si>
    <t>Tren Garı</t>
  </si>
  <si>
    <t>40.76226572311713, 29.917945561627175</t>
  </si>
  <si>
    <t>Sekapark - Tren Garı</t>
  </si>
  <si>
    <t>Fevziye</t>
  </si>
  <si>
    <t>40.76219226436041, 29.92581035045477</t>
  </si>
  <si>
    <t>Tren Garı - Fevziye</t>
  </si>
  <si>
    <t>Yenicuma</t>
  </si>
  <si>
    <t>40.76222301454752, 29.93210308371356</t>
  </si>
  <si>
    <t>Fevziye - Yenicuma</t>
  </si>
  <si>
    <t>Fuar</t>
  </si>
  <si>
    <t>40.7623460151578, 29.93653055158117</t>
  </si>
  <si>
    <t>Yenicuma - Fuar</t>
  </si>
  <si>
    <t>Milli İrade Meydanı</t>
  </si>
  <si>
    <t>40.76542778942214, 29.941339192168897</t>
  </si>
  <si>
    <t>Fuar - Milli İrade Meydanı</t>
  </si>
  <si>
    <t>Doğu Kışla</t>
  </si>
  <si>
    <t>40.76657819603617, 29.951190745519174</t>
  </si>
  <si>
    <t>Milli İrade Meydanı - Doğu Kışla</t>
  </si>
  <si>
    <t>Mehmet Ali Paşa</t>
  </si>
  <si>
    <t>40.76719935295915, 29.956672279830318</t>
  </si>
  <si>
    <t>Doğu Kışla - Mehmet Ali Paşa</t>
  </si>
  <si>
    <t>Yenişehir</t>
  </si>
  <si>
    <t>40.76770364100282, 29.96696158491098</t>
  </si>
  <si>
    <t>Mehmet Ali Paşa - Yenişehir</t>
  </si>
  <si>
    <t>Yahya Kaptan</t>
  </si>
  <si>
    <t>40.76745088223348, 29.97410895756671</t>
  </si>
  <si>
    <t>Yenişehir - Yahya Kaptan</t>
  </si>
  <si>
    <t>Otogar</t>
  </si>
  <si>
    <t>40.77590263521141, 29.975724178184972</t>
  </si>
  <si>
    <t>Yahya Kaptan - Otogar</t>
  </si>
  <si>
    <t>Yuvam</t>
  </si>
  <si>
    <t>40.77378745652127, 29.980808686198948</t>
  </si>
  <si>
    <t>Otogar - Yuvam</t>
  </si>
  <si>
    <t>Yıldız</t>
  </si>
  <si>
    <t>40.77216981826483, 29.98548490641942</t>
  </si>
  <si>
    <t>Yuvam - Yıldız</t>
  </si>
  <si>
    <t>Cengiz Topel</t>
  </si>
  <si>
    <t>40.772137836741, 29.991388015950974</t>
  </si>
  <si>
    <t>Yıldız - Cengiz Topel</t>
  </si>
  <si>
    <t>Fatih</t>
  </si>
  <si>
    <t>40.77145330937777, 29.999291413704995</t>
  </si>
  <si>
    <t>Cengiz Topel - Fatih</t>
  </si>
  <si>
    <t>Alikahya</t>
  </si>
  <si>
    <t>40.77026185675644, 30.00603472106032</t>
  </si>
  <si>
    <t>Fatih - Alikahya</t>
  </si>
  <si>
    <t>Kocaelispor</t>
  </si>
  <si>
    <t>40.76836420928633, 30.015250353865305</t>
  </si>
  <si>
    <t>Alikahya - Kocaelispor</t>
  </si>
  <si>
    <t>Dumlupınar</t>
  </si>
  <si>
    <t>40.76157617934759, 30.015014321782935</t>
  </si>
  <si>
    <t>Kocaelispor - Dumlupınar</t>
  </si>
  <si>
    <t>40.75626934469225, 30.013578943594798</t>
  </si>
  <si>
    <t>Dumlupınar - Kartepe</t>
  </si>
  <si>
    <t>Şehir Hastanesi Tramvay Hattı</t>
  </si>
  <si>
    <t>Kanalboyu</t>
  </si>
  <si>
    <t>40.76812349109033, 29.957542887385756</t>
  </si>
  <si>
    <t>Mehmet Ali Paşa - Kanalboyu</t>
  </si>
  <si>
    <t>Bekirdere Turan Güneş</t>
  </si>
  <si>
    <t>40.77338832844191, 29.953454198214647</t>
  </si>
  <si>
    <t>Kanalboyu - Bekirdere Turan Güneş</t>
  </si>
  <si>
    <t>28 Haziran Başaran</t>
  </si>
  <si>
    <t>40.77854056492095, 29.950150035339796</t>
  </si>
  <si>
    <t>Bekirdere Turan Güneş - 28 Haziran Başaran</t>
  </si>
  <si>
    <t>Fizik Tedavi ve Rehabilitasyon</t>
  </si>
  <si>
    <t>40.78474781964273, 29.954368577033993</t>
  </si>
  <si>
    <t>28 Haziran Başaran - Fizik Tedavi ve Rehabilitasyon</t>
  </si>
  <si>
    <t>Şehir Hastanesi</t>
  </si>
  <si>
    <t>40.784020857503165, 29.961082899802882</t>
  </si>
  <si>
    <t>Fizik Tedavi ve Rehabilitasyon - Şehir Hastanesi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</si>
</sst>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L14" sqref="L14"/>
    </sheetView>
  </sheetViews>
  <sheetFormatPr defaultRowHeight="15" x14ac:dyDescent="0.25"/>
  <cols>
    <col min="1" max="1" width="17.140625" customWidth="1"/>
    <col min="4" max="4" width="31.140625" customWidth="1"/>
    <col min="5" max="5" width="14.42578125" customWidth="1"/>
    <col min="6" max="6" width="39" customWidth="1"/>
    <col min="7" max="7" width="49" customWidth="1"/>
    <col min="8" max="8" width="15.140625" customWidth="1"/>
    <col min="9" max="9" width="18.85546875" customWidth="1"/>
    <col min="10" max="10" width="16.140625" customWidth="1"/>
  </cols>
  <sheetData>
    <row r="1" spans="2:10" ht="15.75" thickBot="1" x14ac:dyDescent="0.3">
      <c r="B1" s="1" t="s">
        <v>0</v>
      </c>
      <c r="C1" s="2"/>
      <c r="D1" s="2"/>
      <c r="E1" s="2"/>
      <c r="F1" s="3"/>
      <c r="G1" s="4" t="s">
        <v>1</v>
      </c>
      <c r="H1" s="5"/>
      <c r="I1" s="6" t="s">
        <v>2</v>
      </c>
      <c r="J1" s="29"/>
    </row>
    <row r="2" spans="2:10" ht="15.75" thickBot="1" x14ac:dyDescent="0.3">
      <c r="B2" s="7" t="s">
        <v>3</v>
      </c>
      <c r="C2" s="8" t="s">
        <v>4</v>
      </c>
      <c r="D2" s="9"/>
      <c r="E2" s="10" t="s">
        <v>5</v>
      </c>
      <c r="F2" s="11" t="s">
        <v>6</v>
      </c>
      <c r="G2" s="12" t="s">
        <v>7</v>
      </c>
      <c r="H2" s="11" t="s">
        <v>8</v>
      </c>
      <c r="I2" s="12" t="s">
        <v>9</v>
      </c>
      <c r="J2" s="11" t="s">
        <v>10</v>
      </c>
    </row>
    <row r="3" spans="2:10" x14ac:dyDescent="0.25">
      <c r="B3" s="13">
        <v>1</v>
      </c>
      <c r="C3" s="14" t="s">
        <v>11</v>
      </c>
      <c r="D3" s="14"/>
      <c r="E3" s="15" t="s">
        <v>12</v>
      </c>
      <c r="F3" s="16" t="s">
        <v>13</v>
      </c>
      <c r="G3" s="13" t="s">
        <v>11</v>
      </c>
      <c r="H3" s="16">
        <v>0</v>
      </c>
      <c r="I3" s="13" t="s">
        <v>12</v>
      </c>
      <c r="J3" s="16">
        <f>10.1+3.1+3.8</f>
        <v>17</v>
      </c>
    </row>
    <row r="4" spans="2:10" ht="15.75" thickBot="1" x14ac:dyDescent="0.3">
      <c r="B4" s="17">
        <v>2</v>
      </c>
      <c r="C4" s="18" t="s">
        <v>14</v>
      </c>
      <c r="D4" s="18"/>
      <c r="E4" s="19" t="s">
        <v>12</v>
      </c>
      <c r="F4" s="20" t="s">
        <v>15</v>
      </c>
      <c r="G4" s="17" t="s">
        <v>16</v>
      </c>
      <c r="H4" s="20">
        <v>840</v>
      </c>
      <c r="I4" s="21" t="s">
        <v>17</v>
      </c>
      <c r="J4" s="28">
        <f>1.4</f>
        <v>1.4</v>
      </c>
    </row>
    <row r="5" spans="2:10" x14ac:dyDescent="0.25">
      <c r="B5" s="17">
        <v>3</v>
      </c>
      <c r="C5" s="18" t="s">
        <v>18</v>
      </c>
      <c r="D5" s="18"/>
      <c r="E5" s="19" t="s">
        <v>12</v>
      </c>
      <c r="F5" s="20" t="s">
        <v>19</v>
      </c>
      <c r="G5" s="17" t="s">
        <v>20</v>
      </c>
      <c r="H5" s="20">
        <f>1310-840</f>
        <v>470</v>
      </c>
      <c r="J5" s="22"/>
    </row>
    <row r="6" spans="2:10" x14ac:dyDescent="0.25">
      <c r="B6" s="17">
        <v>4</v>
      </c>
      <c r="C6" s="18" t="s">
        <v>21</v>
      </c>
      <c r="D6" s="18"/>
      <c r="E6" s="19" t="s">
        <v>12</v>
      </c>
      <c r="F6" s="20" t="s">
        <v>22</v>
      </c>
      <c r="G6" s="17" t="s">
        <v>23</v>
      </c>
      <c r="H6" s="20">
        <f>1685-1310</f>
        <v>375</v>
      </c>
      <c r="J6" s="22"/>
    </row>
    <row r="7" spans="2:10" x14ac:dyDescent="0.25">
      <c r="B7" s="17">
        <v>5</v>
      </c>
      <c r="C7" s="18" t="s">
        <v>24</v>
      </c>
      <c r="D7" s="18"/>
      <c r="E7" s="19" t="s">
        <v>12</v>
      </c>
      <c r="F7" s="20" t="s">
        <v>25</v>
      </c>
      <c r="G7" s="17" t="s">
        <v>26</v>
      </c>
      <c r="H7" s="20">
        <f>2130-1685</f>
        <v>445</v>
      </c>
      <c r="J7" s="22"/>
    </row>
    <row r="8" spans="2:10" x14ac:dyDescent="0.25">
      <c r="B8" s="17">
        <v>6</v>
      </c>
      <c r="C8" s="18" t="s">
        <v>27</v>
      </c>
      <c r="D8" s="18"/>
      <c r="E8" s="19" t="s">
        <v>12</v>
      </c>
      <c r="F8" s="20" t="s">
        <v>28</v>
      </c>
      <c r="G8" s="17" t="s">
        <v>29</v>
      </c>
      <c r="H8" s="20">
        <f>2885-2130</f>
        <v>755</v>
      </c>
      <c r="J8" s="22"/>
    </row>
    <row r="9" spans="2:10" x14ac:dyDescent="0.25">
      <c r="B9" s="17">
        <v>7</v>
      </c>
      <c r="C9" s="18" t="s">
        <v>30</v>
      </c>
      <c r="D9" s="18"/>
      <c r="E9" s="19" t="s">
        <v>12</v>
      </c>
      <c r="F9" s="20" t="s">
        <v>31</v>
      </c>
      <c r="G9" s="17" t="s">
        <v>32</v>
      </c>
      <c r="H9" s="20">
        <f>3555-2885</f>
        <v>670</v>
      </c>
      <c r="J9" s="22"/>
    </row>
    <row r="10" spans="2:10" x14ac:dyDescent="0.25">
      <c r="B10" s="17">
        <v>8</v>
      </c>
      <c r="C10" s="18" t="s">
        <v>33</v>
      </c>
      <c r="D10" s="18"/>
      <c r="E10" s="19" t="s">
        <v>12</v>
      </c>
      <c r="F10" s="20" t="s">
        <v>34</v>
      </c>
      <c r="G10" s="17" t="s">
        <v>35</v>
      </c>
      <c r="H10" s="20">
        <f>4205-3555</f>
        <v>650</v>
      </c>
      <c r="J10" s="22"/>
    </row>
    <row r="11" spans="2:10" x14ac:dyDescent="0.25">
      <c r="B11" s="17">
        <v>9</v>
      </c>
      <c r="C11" s="18" t="s">
        <v>36</v>
      </c>
      <c r="D11" s="18"/>
      <c r="E11" s="19" t="s">
        <v>12</v>
      </c>
      <c r="F11" s="20" t="s">
        <v>37</v>
      </c>
      <c r="G11" s="17" t="s">
        <v>38</v>
      </c>
      <c r="H11" s="20">
        <f>4750-4205</f>
        <v>545</v>
      </c>
      <c r="J11" s="22"/>
    </row>
    <row r="12" spans="2:10" x14ac:dyDescent="0.25">
      <c r="B12" s="17">
        <v>10</v>
      </c>
      <c r="C12" s="18" t="s">
        <v>39</v>
      </c>
      <c r="D12" s="18"/>
      <c r="E12" s="19" t="s">
        <v>12</v>
      </c>
      <c r="F12" s="20" t="s">
        <v>40</v>
      </c>
      <c r="G12" s="17" t="s">
        <v>41</v>
      </c>
      <c r="H12" s="20">
        <f>5135-4750</f>
        <v>385</v>
      </c>
      <c r="J12" s="22"/>
    </row>
    <row r="13" spans="2:10" x14ac:dyDescent="0.25">
      <c r="B13" s="17">
        <v>11</v>
      </c>
      <c r="C13" s="18" t="s">
        <v>42</v>
      </c>
      <c r="D13" s="18"/>
      <c r="E13" s="19" t="s">
        <v>12</v>
      </c>
      <c r="F13" s="20" t="s">
        <v>43</v>
      </c>
      <c r="G13" s="17" t="s">
        <v>44</v>
      </c>
      <c r="H13" s="20">
        <f>5885-5135</f>
        <v>750</v>
      </c>
      <c r="J13" s="22"/>
    </row>
    <row r="14" spans="2:10" x14ac:dyDescent="0.25">
      <c r="B14" s="17">
        <v>12</v>
      </c>
      <c r="C14" s="18" t="s">
        <v>45</v>
      </c>
      <c r="D14" s="18"/>
      <c r="E14" s="19" t="s">
        <v>12</v>
      </c>
      <c r="F14" s="20" t="s">
        <v>46</v>
      </c>
      <c r="G14" s="17" t="s">
        <v>47</v>
      </c>
      <c r="H14" s="20">
        <f>6915-5885</f>
        <v>1030</v>
      </c>
      <c r="J14" s="22"/>
    </row>
    <row r="15" spans="2:10" x14ac:dyDescent="0.25">
      <c r="B15" s="17">
        <v>13</v>
      </c>
      <c r="C15" s="18" t="s">
        <v>48</v>
      </c>
      <c r="D15" s="18"/>
      <c r="E15" s="19" t="s">
        <v>12</v>
      </c>
      <c r="F15" s="20" t="s">
        <v>49</v>
      </c>
      <c r="G15" s="17" t="s">
        <v>50</v>
      </c>
      <c r="H15" s="20">
        <f>7470-6915</f>
        <v>555</v>
      </c>
      <c r="J15" s="22"/>
    </row>
    <row r="16" spans="2:10" x14ac:dyDescent="0.25">
      <c r="B16" s="17">
        <v>14</v>
      </c>
      <c r="C16" s="18" t="s">
        <v>51</v>
      </c>
      <c r="D16" s="18"/>
      <c r="E16" s="19" t="s">
        <v>12</v>
      </c>
      <c r="F16" s="20" t="s">
        <v>52</v>
      </c>
      <c r="G16" s="17" t="s">
        <v>53</v>
      </c>
      <c r="H16" s="20">
        <f>8310-7470</f>
        <v>840</v>
      </c>
      <c r="J16" s="22"/>
    </row>
    <row r="17" spans="1:10" x14ac:dyDescent="0.25">
      <c r="B17" s="17">
        <v>15</v>
      </c>
      <c r="C17" s="18" t="s">
        <v>54</v>
      </c>
      <c r="D17" s="18"/>
      <c r="E17" s="19" t="s">
        <v>12</v>
      </c>
      <c r="F17" s="20" t="s">
        <v>55</v>
      </c>
      <c r="G17" s="17" t="s">
        <v>56</v>
      </c>
      <c r="H17" s="20">
        <f>8920-8310</f>
        <v>610</v>
      </c>
      <c r="J17" s="22"/>
    </row>
    <row r="18" spans="1:10" x14ac:dyDescent="0.25">
      <c r="B18" s="17">
        <v>16</v>
      </c>
      <c r="C18" s="18" t="s">
        <v>57</v>
      </c>
      <c r="D18" s="18"/>
      <c r="E18" s="19" t="s">
        <v>12</v>
      </c>
      <c r="F18" s="20" t="s">
        <v>58</v>
      </c>
      <c r="G18" s="17" t="s">
        <v>59</v>
      </c>
      <c r="H18" s="20">
        <f>10140-8920</f>
        <v>1220</v>
      </c>
      <c r="J18" s="22"/>
    </row>
    <row r="19" spans="1:10" x14ac:dyDescent="0.25">
      <c r="B19" s="17">
        <v>17</v>
      </c>
      <c r="C19" s="18" t="s">
        <v>60</v>
      </c>
      <c r="D19" s="18"/>
      <c r="E19" s="19" t="s">
        <v>12</v>
      </c>
      <c r="F19" s="20" t="s">
        <v>61</v>
      </c>
      <c r="G19" s="17" t="s">
        <v>62</v>
      </c>
      <c r="H19" s="20">
        <f>11000-10140</f>
        <v>860</v>
      </c>
      <c r="J19" s="22"/>
    </row>
    <row r="20" spans="1:10" x14ac:dyDescent="0.25">
      <c r="B20" s="17">
        <v>18</v>
      </c>
      <c r="C20" s="18" t="s">
        <v>63</v>
      </c>
      <c r="D20" s="18"/>
      <c r="E20" s="19" t="s">
        <v>12</v>
      </c>
      <c r="F20" s="20" t="s">
        <v>64</v>
      </c>
      <c r="G20" s="17" t="s">
        <v>65</v>
      </c>
      <c r="H20" s="20">
        <f>11495-11000</f>
        <v>495</v>
      </c>
      <c r="J20" s="22"/>
    </row>
    <row r="21" spans="1:10" x14ac:dyDescent="0.25">
      <c r="B21" s="17">
        <v>19</v>
      </c>
      <c r="C21" s="18" t="s">
        <v>66</v>
      </c>
      <c r="D21" s="18"/>
      <c r="E21" s="19" t="s">
        <v>12</v>
      </c>
      <c r="F21" s="20" t="s">
        <v>67</v>
      </c>
      <c r="G21" s="17" t="s">
        <v>68</v>
      </c>
      <c r="H21" s="20">
        <f>12010-11495</f>
        <v>515</v>
      </c>
      <c r="J21" s="22"/>
    </row>
    <row r="22" spans="1:10" x14ac:dyDescent="0.25">
      <c r="B22" s="17">
        <v>20</v>
      </c>
      <c r="C22" s="18" t="s">
        <v>69</v>
      </c>
      <c r="D22" s="18"/>
      <c r="E22" s="19" t="s">
        <v>12</v>
      </c>
      <c r="F22" s="20" t="s">
        <v>70</v>
      </c>
      <c r="G22" s="17" t="s">
        <v>71</v>
      </c>
      <c r="H22" s="20">
        <f>12700-12010</f>
        <v>690</v>
      </c>
      <c r="J22" s="22"/>
    </row>
    <row r="23" spans="1:10" x14ac:dyDescent="0.25">
      <c r="B23" s="17">
        <v>21</v>
      </c>
      <c r="C23" s="18" t="s">
        <v>72</v>
      </c>
      <c r="D23" s="18"/>
      <c r="E23" s="19" t="s">
        <v>12</v>
      </c>
      <c r="F23" s="20" t="s">
        <v>73</v>
      </c>
      <c r="G23" s="17" t="s">
        <v>74</v>
      </c>
      <c r="H23" s="20">
        <f>13270-12700</f>
        <v>570</v>
      </c>
      <c r="J23" s="22"/>
    </row>
    <row r="24" spans="1:10" x14ac:dyDescent="0.25">
      <c r="B24" s="17">
        <v>22</v>
      </c>
      <c r="C24" s="18" t="s">
        <v>75</v>
      </c>
      <c r="D24" s="18"/>
      <c r="E24" s="19" t="s">
        <v>12</v>
      </c>
      <c r="F24" s="20" t="s">
        <v>76</v>
      </c>
      <c r="G24" s="17" t="s">
        <v>77</v>
      </c>
      <c r="H24" s="20">
        <f>14080-13270</f>
        <v>810</v>
      </c>
      <c r="J24" s="22"/>
    </row>
    <row r="25" spans="1:10" x14ac:dyDescent="0.25">
      <c r="B25" s="17">
        <v>23</v>
      </c>
      <c r="C25" s="18" t="s">
        <v>78</v>
      </c>
      <c r="D25" s="18"/>
      <c r="E25" s="19" t="s">
        <v>17</v>
      </c>
      <c r="F25" s="20" t="s">
        <v>79</v>
      </c>
      <c r="G25" s="17" t="s">
        <v>80</v>
      </c>
      <c r="H25" s="20">
        <f>14905-14080</f>
        <v>825</v>
      </c>
      <c r="J25" s="22"/>
    </row>
    <row r="26" spans="1:10" ht="15.75" thickBot="1" x14ac:dyDescent="0.3">
      <c r="B26" s="17">
        <v>24</v>
      </c>
      <c r="C26" s="18" t="s">
        <v>17</v>
      </c>
      <c r="D26" s="18"/>
      <c r="E26" s="19" t="s">
        <v>17</v>
      </c>
      <c r="F26" s="20" t="s">
        <v>81</v>
      </c>
      <c r="G26" s="17" t="s">
        <v>82</v>
      </c>
      <c r="H26" s="20">
        <f>15480-14905</f>
        <v>575</v>
      </c>
      <c r="J26" s="22"/>
    </row>
    <row r="27" spans="1:10" x14ac:dyDescent="0.25">
      <c r="A27" s="23" t="s">
        <v>83</v>
      </c>
      <c r="B27" s="17">
        <v>25</v>
      </c>
      <c r="C27" s="18" t="s">
        <v>84</v>
      </c>
      <c r="D27" s="18"/>
      <c r="E27" s="19" t="s">
        <v>12</v>
      </c>
      <c r="F27" s="20" t="s">
        <v>85</v>
      </c>
      <c r="G27" s="17" t="s">
        <v>86</v>
      </c>
      <c r="H27" s="20">
        <v>140</v>
      </c>
      <c r="J27" s="22"/>
    </row>
    <row r="28" spans="1:10" x14ac:dyDescent="0.25">
      <c r="A28" s="24"/>
      <c r="B28" s="17">
        <v>26</v>
      </c>
      <c r="C28" s="18" t="s">
        <v>87</v>
      </c>
      <c r="D28" s="18"/>
      <c r="E28" s="19" t="s">
        <v>12</v>
      </c>
      <c r="F28" s="20" t="s">
        <v>88</v>
      </c>
      <c r="G28" s="17" t="s">
        <v>89</v>
      </c>
      <c r="H28" s="20">
        <f>740-50</f>
        <v>690</v>
      </c>
      <c r="J28" s="22"/>
    </row>
    <row r="29" spans="1:10" x14ac:dyDescent="0.25">
      <c r="A29" s="24"/>
      <c r="B29" s="17">
        <v>27</v>
      </c>
      <c r="C29" s="18" t="s">
        <v>90</v>
      </c>
      <c r="D29" s="18"/>
      <c r="E29" s="19" t="s">
        <v>12</v>
      </c>
      <c r="F29" s="20" t="s">
        <v>91</v>
      </c>
      <c r="G29" s="17" t="s">
        <v>92</v>
      </c>
      <c r="H29" s="20">
        <f>1390-740</f>
        <v>650</v>
      </c>
      <c r="J29" s="22"/>
    </row>
    <row r="30" spans="1:10" x14ac:dyDescent="0.25">
      <c r="A30" s="24"/>
      <c r="B30" s="17">
        <v>28</v>
      </c>
      <c r="C30" s="18" t="s">
        <v>93</v>
      </c>
      <c r="D30" s="18"/>
      <c r="E30" s="19" t="s">
        <v>12</v>
      </c>
      <c r="F30" s="20" t="s">
        <v>94</v>
      </c>
      <c r="G30" s="17" t="s">
        <v>95</v>
      </c>
      <c r="H30" s="20">
        <f>2380-1390</f>
        <v>990</v>
      </c>
      <c r="J30" s="22"/>
    </row>
    <row r="31" spans="1:10" ht="15.75" thickBot="1" x14ac:dyDescent="0.3">
      <c r="A31" s="25"/>
      <c r="B31" s="21">
        <v>29</v>
      </c>
      <c r="C31" s="26" t="s">
        <v>96</v>
      </c>
      <c r="D31" s="26"/>
      <c r="E31" s="27" t="s">
        <v>12</v>
      </c>
      <c r="F31" s="28" t="s">
        <v>97</v>
      </c>
      <c r="G31" s="21" t="s">
        <v>98</v>
      </c>
      <c r="H31" s="28">
        <f>2950-2380</f>
        <v>570</v>
      </c>
      <c r="J31" s="22"/>
    </row>
  </sheetData>
  <mergeCells count="34">
    <mergeCell ref="C23:D23"/>
    <mergeCell ref="C24:D24"/>
    <mergeCell ref="C25:D25"/>
    <mergeCell ref="C26:D26"/>
    <mergeCell ref="A27:A31"/>
    <mergeCell ref="C27:D27"/>
    <mergeCell ref="C28:D28"/>
    <mergeCell ref="C29:D29"/>
    <mergeCell ref="C30:D30"/>
    <mergeCell ref="C31:D31"/>
    <mergeCell ref="C17:D17"/>
    <mergeCell ref="C18:D18"/>
    <mergeCell ref="C19:D19"/>
    <mergeCell ref="C20:D20"/>
    <mergeCell ref="C21:D21"/>
    <mergeCell ref="C22:D22"/>
    <mergeCell ref="C11:D11"/>
    <mergeCell ref="C12:D12"/>
    <mergeCell ref="C13:D13"/>
    <mergeCell ref="C14:D14"/>
    <mergeCell ref="C15:D15"/>
    <mergeCell ref="C16:D16"/>
    <mergeCell ref="C5:D5"/>
    <mergeCell ref="C6:D6"/>
    <mergeCell ref="C7:D7"/>
    <mergeCell ref="C8:D8"/>
    <mergeCell ref="C9:D9"/>
    <mergeCell ref="C10:D10"/>
    <mergeCell ref="B1:F1"/>
    <mergeCell ref="G1:H1"/>
    <mergeCell ref="I1:J1"/>
    <mergeCell ref="C2:D2"/>
    <mergeCell ref="C3:D3"/>
    <mergeCell ref="C4:D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2026-06-12T13:07:19Z</dcterms:modified>
</cp:coreProperties>
</file>